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y\Documents\Carly Personal\Raptors\"/>
    </mc:Choice>
  </mc:AlternateContent>
  <xr:revisionPtr revIDLastSave="0" documentId="13_ncr:1_{DF05B071-0834-4139-B028-379BB4A77EE2}" xr6:coauthVersionLast="47" xr6:coauthVersionMax="47" xr10:uidLastSave="{00000000-0000-0000-0000-000000000000}"/>
  <bookViews>
    <workbookView xWindow="-120" yWindow="-120" windowWidth="29040" windowHeight="15720" xr2:uid="{1992F58E-74B2-4373-8AAD-E3745DD13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23" i="1"/>
  <c r="E16" i="1"/>
  <c r="E17" i="1"/>
  <c r="E18" i="1"/>
  <c r="E19" i="1"/>
  <c r="E20" i="1"/>
  <c r="E21" i="1"/>
  <c r="E22" i="1"/>
  <c r="E15" i="1"/>
  <c r="E9" i="1"/>
  <c r="E8" i="1"/>
  <c r="E7" i="1"/>
  <c r="E12" i="1"/>
  <c r="E11" i="1"/>
  <c r="E10" i="1"/>
  <c r="E6" i="1"/>
  <c r="E5" i="1"/>
  <c r="E4" i="1"/>
  <c r="E24" i="1" l="1"/>
  <c r="E26" i="1" s="1"/>
  <c r="E27" i="1" s="1"/>
</calcChain>
</file>

<file path=xl/sharedStrings.xml><?xml version="1.0" encoding="utf-8"?>
<sst xmlns="http://schemas.openxmlformats.org/spreadsheetml/2006/main" count="35" uniqueCount="30">
  <si>
    <t>Raptors Uniform Order Form</t>
  </si>
  <si>
    <t xml:space="preserve">Player's Name: </t>
  </si>
  <si>
    <t>Cost</t>
  </si>
  <si>
    <t>Size</t>
  </si>
  <si>
    <t>Quanity</t>
  </si>
  <si>
    <t>Total</t>
  </si>
  <si>
    <t xml:space="preserve">1. Raptors Red Team Jersey </t>
  </si>
  <si>
    <t>2. Raptors White Team Jersey</t>
  </si>
  <si>
    <t xml:space="preserve">3. Youth Grey Splatter Practice Shirt </t>
  </si>
  <si>
    <t>4. Youth Black Graffiti Practice Shirt</t>
  </si>
  <si>
    <t>5. Youth Pink  Electric Practice Shirt</t>
  </si>
  <si>
    <t>6. Youth Red Seams Practice Shirt</t>
  </si>
  <si>
    <t>8. Raptors Fitted Team Hat Black and Red</t>
  </si>
  <si>
    <t xml:space="preserve">7. Youth Red Raptors Baseball Short Sleeve Pullover </t>
  </si>
  <si>
    <t>Player Items</t>
  </si>
  <si>
    <t>Adult Items</t>
  </si>
  <si>
    <t>Shipping</t>
  </si>
  <si>
    <t>Tax</t>
  </si>
  <si>
    <t>Pre Total</t>
  </si>
  <si>
    <t>9. Red Camo socks</t>
  </si>
  <si>
    <t>10. Raptors Gray Hoodie with player number</t>
  </si>
  <si>
    <t>12. Adult Black Graffiti Shirt</t>
  </si>
  <si>
    <t>13. Adult Pink Electric Shirt</t>
  </si>
  <si>
    <t>14. Adult Red Seams Shirt (Red)</t>
  </si>
  <si>
    <t>16. Raptors Fitted Team Hat Black and Red</t>
  </si>
  <si>
    <t>17. Snapback Raptors Hat - Black and White</t>
  </si>
  <si>
    <t>18. Raptors Dad Hat - Black and White</t>
  </si>
  <si>
    <t xml:space="preserve">19. Raptors Gray Hoodie Sweatshirt </t>
  </si>
  <si>
    <t>11. Adult Gray Splatter Shirt (Medium Gray)</t>
  </si>
  <si>
    <t>15. Adult Hooded SPF Long Sleeve (Heathered Grey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</si>
</sst>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name val="Aptos Narrow"/>
      <family val="2"/>
      <scheme val="minor"/>
    </font>
    <font>
      <u/>
      <sz val="14"/>
      <name val="Aptos Narrow"/>
      <family val="2"/>
      <scheme val="minor"/>
    </font>
    <font>
      <b/>
      <sz val="14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2" borderId="0" xfId="0" applyFill="1"/>
    <xf numFmtId="0" fontId="1" fillId="0" borderId="4" xfId="0" applyFont="1" applyBorder="1"/>
    <xf numFmtId="164" fontId="1" fillId="0" borderId="4" xfId="0" applyNumberFormat="1" applyFont="1" applyBorder="1"/>
    <xf numFmtId="0" fontId="0" fillId="0" borderId="0" xfId="0" applyAlignment="1">
      <alignment wrapText="1"/>
    </xf>
    <xf numFmtId="0" fontId="0" fillId="0" borderId="4" xfId="0" applyBorder="1"/>
    <xf numFmtId="0" fontId="6" fillId="0" borderId="4" xfId="1" applyFont="1" applyFill="1" applyBorder="1" applyAlignment="1">
      <alignment horizontal="left" wrapText="1"/>
    </xf>
    <xf numFmtId="164" fontId="1" fillId="0" borderId="4" xfId="0" applyNumberFormat="1" applyFont="1" applyBorder="1" applyAlignment="1">
      <alignment horizontal="right"/>
    </xf>
    <xf numFmtId="0" fontId="3" fillId="0" borderId="4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3" borderId="4" xfId="0" applyFont="1" applyFill="1" applyBorder="1" applyAlignment="1">
      <alignment wrapText="1"/>
    </xf>
    <xf numFmtId="164" fontId="1" fillId="3" borderId="4" xfId="0" applyNumberFormat="1" applyFont="1" applyFill="1" applyBorder="1"/>
    <xf numFmtId="0" fontId="1" fillId="3" borderId="4" xfId="0" applyFont="1" applyFill="1" applyBorder="1"/>
    <xf numFmtId="0" fontId="6" fillId="3" borderId="4" xfId="1" applyFont="1" applyFill="1" applyBorder="1" applyAlignment="1">
      <alignment wrapText="1"/>
    </xf>
    <xf numFmtId="164" fontId="1" fillId="3" borderId="4" xfId="0" applyNumberFormat="1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64" fontId="1" fillId="0" borderId="0" xfId="0" applyNumberFormat="1" applyFont="1"/>
    <xf numFmtId="0" fontId="7" fillId="0" borderId="4" xfId="1" applyFont="1" applyFill="1" applyBorder="1" applyAlignment="1">
      <alignment horizontal="center" wrapText="1"/>
    </xf>
    <xf numFmtId="0" fontId="8" fillId="0" borderId="4" xfId="1" applyFont="1" applyBorder="1" applyAlignment="1">
      <alignment wrapText="1"/>
    </xf>
    <xf numFmtId="0" fontId="8" fillId="0" borderId="4" xfId="1" applyFont="1" applyFill="1" applyBorder="1" applyAlignment="1">
      <alignment horizontal="left" wrapText="1"/>
    </xf>
    <xf numFmtId="0" fontId="8" fillId="2" borderId="4" xfId="1" applyFont="1" applyFill="1" applyBorder="1" applyAlignment="1">
      <alignment wrapText="1"/>
    </xf>
    <xf numFmtId="0" fontId="1" fillId="0" borderId="0" xfId="0" applyFont="1"/>
    <xf numFmtId="164" fontId="8" fillId="0" borderId="4" xfId="1" applyNumberFormat="1" applyFont="1" applyBorder="1"/>
    <xf numFmtId="0" fontId="8" fillId="0" borderId="4" xfId="1" applyFont="1" applyBorder="1"/>
    <xf numFmtId="0" fontId="8" fillId="0" borderId="0" xfId="1" applyFont="1"/>
    <xf numFmtId="0" fontId="8" fillId="3" borderId="4" xfId="1" applyFont="1" applyFill="1" applyBorder="1"/>
    <xf numFmtId="164" fontId="1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6" fillId="0" borderId="4" xfId="1" applyFont="1" applyFill="1" applyBorder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4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sactivewear.com/p/paragon/220" TargetMode="External"/><Relationship Id="rId13" Type="http://schemas.openxmlformats.org/officeDocument/2006/relationships/hyperlink" Target="https://www.jiffy.com/sporttek-YST350.html?ac=Neon+Pink&amp;size=XS&amp;utm_source=google&amp;utm_medium=cpc&amp;utm_campaign=22843358288&amp;utm_adgroup=190002508544&amp;utm_term=&amp;campcat=&amp;target=pla-2426914819122&amp;physical=9189363&amp;matchtype=&amp;adtype=pla&amp;jid=JS758059&amp;pgid=2426914819122&amp;net=g&amp;gclid=Cj0KCQjw2IDFBhDCARIsABDKOJ7ME_6KqdAhl6wU9YKh7hSvBI8I-OpeFv0-7KFvW094n8ifDVRr0f8aApxdEALw_wcB&amp;m=&amp;search=%5btrue%5d&amp;creative=766541261215&amp;where=&amp;country=US&amp;bookmark=6171799492351771502&amp;gad_source=1&amp;gad_campaignid=22843358288&amp;gbraid=0AAAABAdZEm_BYAiRu-ZK2bKeD3EJ4CKOO" TargetMode="External"/><Relationship Id="rId3" Type="http://schemas.openxmlformats.org/officeDocument/2006/relationships/hyperlink" Target="https://baseball.epicsports.com/prod/117532/the-game-gb998-perforated-gamechanger-cap.html?trk=35898&amp;campaignid=69309251&amp;adgroupid=69519111255&amp;targetid=aud-181855103291:dsa-60555823907&amp;device=c&amp;loc_physical_ms=9027721&amp;matchtype=&amp;gclid=Cj0KCQjw0IGnBhDUARIsAMwFDLlU0p6EQpd4L0vy-NhdeleO2fvcx2aGwFhdeogjtwOvEyuPsEDDf2caAtRHEALw_wcB" TargetMode="External"/><Relationship Id="rId7" Type="http://schemas.openxmlformats.org/officeDocument/2006/relationships/hyperlink" Target="https://www.ssactivewear.com/p/yp_classics/6606" TargetMode="External"/><Relationship Id="rId12" Type="http://schemas.openxmlformats.org/officeDocument/2006/relationships/hyperlink" Target="https://www.jiffy.com/sporttek-YST350.html?ac=Neon+Pink&amp;size=XS&amp;utm_source=google&amp;utm_medium=cpc&amp;utm_campaign=22843358288&amp;utm_adgroup=190002508544&amp;utm_term=&amp;campcat=&amp;target=pla-2426914819122&amp;physical=9189363&amp;matchtype=&amp;adtype=pla&amp;jid=JS758059&amp;pgid=2426914819122&amp;net=g&amp;gclid=Cj0KCQjw2IDFBhDCARIsABDKOJ7ME_6KqdAhl6wU9YKh7hSvBI8I-OpeFv0-7KFvW094n8ifDVRr0f8aApxdEALw_wcB&amp;m=&amp;search=%5btrue%5d&amp;creative=766541261215&amp;where=&amp;country=US&amp;bookmark=6171799492351771502&amp;gad_source=1&amp;gad_campaignid=22843358288&amp;gbraid=0AAAABAdZEm_BYAiRu-ZK2bKeD3EJ4CKOO" TargetMode="External"/><Relationship Id="rId2" Type="http://schemas.openxmlformats.org/officeDocument/2006/relationships/hyperlink" Target="https://www.sporttekusa.com/p/10088_DeepRed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portandcompany.com/p/6524_GyConcrete" TargetMode="External"/><Relationship Id="rId6" Type="http://schemas.openxmlformats.org/officeDocument/2006/relationships/hyperlink" Target="https://baseball.epicsports.com/prod/117532/the-game-gb998-perforated-gamechanger-cap.html?trk=35898&amp;campaignid=69309251&amp;adgroupid=69519111255&amp;targetid=aud-181855103291:dsa-60555823907&amp;device=c&amp;loc_physical_ms=9027721&amp;matchtype=&amp;gclid=Cj0KCQjw0IGnBhDUARIsAMwFDLlU0p6EQpd4L0vy-NhdeleO2fvcx2aGwFhdeogjtwOvEyuPsEDDf2caAtRHEALw_wcB" TargetMode="External"/><Relationship Id="rId11" Type="http://schemas.openxmlformats.org/officeDocument/2006/relationships/hyperlink" Target="https://www.jiffy.com/sporttek-YST350.html?ac=Neon+Pink&amp;size=XS&amp;utm_source=google&amp;utm_medium=cpc&amp;utm_campaign=22843358288&amp;utm_adgroup=190002508544&amp;utm_term=&amp;campcat=&amp;target=pla-2426914819122&amp;physical=9189363&amp;matchtype=&amp;adtype=pla&amp;jid=JS758059&amp;pgid=2426914819122&amp;net=g&amp;gclid=Cj0KCQjw2IDFBhDCARIsABDKOJ7ME_6KqdAhl6wU9YKh7hSvBI8I-OpeFv0-7KFvW094n8ifDVRr0f8aApxdEALw_wcB&amp;m=&amp;search=%5btrue%5d&amp;creative=766541261215&amp;where=&amp;country=US&amp;bookmark=6171799492351771502&amp;gad_source=1&amp;gad_campaignid=22843358288&amp;gbraid=0AAAABAdZEm_BYAiRu-ZK2bKeD3EJ4CKOO" TargetMode="External"/><Relationship Id="rId5" Type="http://schemas.openxmlformats.org/officeDocument/2006/relationships/hyperlink" Target="https://www.ssactivewear.com/p/paragon/200" TargetMode="External"/><Relationship Id="rId15" Type="http://schemas.openxmlformats.org/officeDocument/2006/relationships/hyperlink" Target="https://www.ssactivewear.com/p/paragon/200" TargetMode="External"/><Relationship Id="rId10" Type="http://schemas.openxmlformats.org/officeDocument/2006/relationships/hyperlink" Target="https://www.ssactivewear.com/p/comfort_colors/1717" TargetMode="External"/><Relationship Id="rId4" Type="http://schemas.openxmlformats.org/officeDocument/2006/relationships/hyperlink" Target="https://www.ssactivewear.com/p/bella/3001" TargetMode="External"/><Relationship Id="rId9" Type="http://schemas.openxmlformats.org/officeDocument/2006/relationships/hyperlink" Target="https://www.ssactivewear.com/p/comfort_colors/1717" TargetMode="External"/><Relationship Id="rId14" Type="http://schemas.openxmlformats.org/officeDocument/2006/relationships/hyperlink" Target="https://www.madsportsstuff.com/products/tck-digital-camo-otc-socks?variant=31832871534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3719-4AC9-44FA-9ACA-9F06C01424BB}">
  <dimension ref="A1:E27"/>
  <sheetViews>
    <sheetView tabSelected="1" topLeftCell="A10" workbookViewId="0">
      <selection activeCell="A19" sqref="A19"/>
    </sheetView>
  </sheetViews>
  <sheetFormatPr defaultRowHeight="18.75" x14ac:dyDescent="0.3"/>
  <cols>
    <col min="1" max="1" width="44.42578125" style="8" customWidth="1"/>
    <col min="2" max="2" width="11.140625" style="20" customWidth="1"/>
    <col min="3" max="3" width="14.7109375" customWidth="1"/>
    <col min="4" max="4" width="14" customWidth="1"/>
    <col min="5" max="5" width="12.28515625" style="20" customWidth="1"/>
  </cols>
  <sheetData>
    <row r="1" spans="1:5" ht="20.25" customHeight="1" x14ac:dyDescent="0.4">
      <c r="A1" s="33" t="s">
        <v>0</v>
      </c>
      <c r="B1" s="34"/>
      <c r="C1" s="34"/>
      <c r="D1" s="34"/>
      <c r="E1" s="35"/>
    </row>
    <row r="2" spans="1:5" ht="18.75" customHeight="1" x14ac:dyDescent="0.3">
      <c r="A2" s="36" t="s">
        <v>1</v>
      </c>
      <c r="B2" s="30"/>
      <c r="C2" s="31"/>
      <c r="D2" s="31"/>
      <c r="E2" s="31"/>
    </row>
    <row r="3" spans="1:5" x14ac:dyDescent="0.3">
      <c r="A3" s="12" t="s">
        <v>14</v>
      </c>
      <c r="B3" s="2" t="s">
        <v>2</v>
      </c>
      <c r="C3" s="1" t="s">
        <v>3</v>
      </c>
      <c r="D3" s="1" t="s">
        <v>4</v>
      </c>
      <c r="E3" s="2" t="s">
        <v>5</v>
      </c>
    </row>
    <row r="4" spans="1:5" s="5" customFormat="1" x14ac:dyDescent="0.3">
      <c r="A4" s="14" t="s">
        <v>6</v>
      </c>
      <c r="B4" s="15">
        <v>50</v>
      </c>
      <c r="C4" s="16"/>
      <c r="D4" s="16"/>
      <c r="E4" s="15">
        <f t="shared" ref="E4:E12" si="0">B4*D4</f>
        <v>0</v>
      </c>
    </row>
    <row r="5" spans="1:5" x14ac:dyDescent="0.3">
      <c r="A5" s="14" t="s">
        <v>7</v>
      </c>
      <c r="B5" s="15">
        <v>50</v>
      </c>
      <c r="C5" s="16"/>
      <c r="D5" s="16"/>
      <c r="E5" s="15">
        <f t="shared" si="0"/>
        <v>0</v>
      </c>
    </row>
    <row r="6" spans="1:5" s="5" customFormat="1" ht="37.5" x14ac:dyDescent="0.3">
      <c r="A6" s="24" t="s">
        <v>8</v>
      </c>
      <c r="B6" s="4">
        <v>18</v>
      </c>
      <c r="C6" s="3"/>
      <c r="D6" s="3"/>
      <c r="E6" s="4">
        <f t="shared" si="0"/>
        <v>0</v>
      </c>
    </row>
    <row r="7" spans="1:5" x14ac:dyDescent="0.3">
      <c r="A7" s="22" t="s">
        <v>9</v>
      </c>
      <c r="B7" s="7">
        <v>18</v>
      </c>
      <c r="C7" s="9"/>
      <c r="D7" s="9"/>
      <c r="E7" s="7">
        <f t="shared" si="0"/>
        <v>0</v>
      </c>
    </row>
    <row r="8" spans="1:5" ht="37.5" x14ac:dyDescent="0.3">
      <c r="A8" s="22" t="s">
        <v>10</v>
      </c>
      <c r="B8" s="7">
        <v>18</v>
      </c>
      <c r="C8" s="9"/>
      <c r="D8" s="9"/>
      <c r="E8" s="7">
        <f t="shared" si="0"/>
        <v>0</v>
      </c>
    </row>
    <row r="9" spans="1:5" x14ac:dyDescent="0.3">
      <c r="A9" s="22" t="s">
        <v>11</v>
      </c>
      <c r="B9" s="7">
        <v>18</v>
      </c>
      <c r="C9" s="9"/>
      <c r="D9" s="9"/>
      <c r="E9" s="7">
        <f t="shared" si="0"/>
        <v>0</v>
      </c>
    </row>
    <row r="10" spans="1:5" ht="37.5" x14ac:dyDescent="0.3">
      <c r="A10" s="10" t="s">
        <v>13</v>
      </c>
      <c r="B10" s="11">
        <v>30</v>
      </c>
      <c r="C10" s="1"/>
      <c r="D10" s="1"/>
      <c r="E10" s="11">
        <f t="shared" si="0"/>
        <v>0</v>
      </c>
    </row>
    <row r="11" spans="1:5" s="8" customFormat="1" ht="37.5" x14ac:dyDescent="0.3">
      <c r="A11" s="17" t="s">
        <v>12</v>
      </c>
      <c r="B11" s="18">
        <v>20</v>
      </c>
      <c r="C11" s="19"/>
      <c r="D11" s="19"/>
      <c r="E11" s="18">
        <f t="shared" si="0"/>
        <v>0</v>
      </c>
    </row>
    <row r="12" spans="1:5" x14ac:dyDescent="0.3">
      <c r="A12" s="29" t="s">
        <v>19</v>
      </c>
      <c r="B12" s="15">
        <v>19</v>
      </c>
      <c r="C12" s="16"/>
      <c r="D12" s="16"/>
      <c r="E12" s="15">
        <f t="shared" si="0"/>
        <v>0</v>
      </c>
    </row>
    <row r="13" spans="1:5" ht="37.5" x14ac:dyDescent="0.3">
      <c r="A13" s="32" t="s">
        <v>20</v>
      </c>
      <c r="B13" s="7">
        <v>40</v>
      </c>
      <c r="C13" s="9"/>
      <c r="D13" s="9"/>
      <c r="E13" s="7">
        <f>C13*D13</f>
        <v>0</v>
      </c>
    </row>
    <row r="14" spans="1:5" x14ac:dyDescent="0.3">
      <c r="A14" s="21" t="s">
        <v>15</v>
      </c>
      <c r="B14" s="2" t="s">
        <v>2</v>
      </c>
      <c r="C14" s="1" t="s">
        <v>3</v>
      </c>
      <c r="D14" s="1" t="s">
        <v>4</v>
      </c>
      <c r="E14" s="2" t="s">
        <v>5</v>
      </c>
    </row>
    <row r="15" spans="1:5" s="25" customFormat="1" ht="37.5" x14ac:dyDescent="0.3">
      <c r="A15" s="23" t="s">
        <v>28</v>
      </c>
      <c r="B15" s="7">
        <v>22</v>
      </c>
      <c r="C15" s="6"/>
      <c r="D15" s="6"/>
      <c r="E15" s="7">
        <f>B15*D15</f>
        <v>0</v>
      </c>
    </row>
    <row r="16" spans="1:5" s="25" customFormat="1" x14ac:dyDescent="0.3">
      <c r="A16" s="22" t="s">
        <v>21</v>
      </c>
      <c r="B16" s="7">
        <v>22</v>
      </c>
      <c r="C16" s="6"/>
      <c r="D16" s="6"/>
      <c r="E16" s="7">
        <f t="shared" ref="E16:E23" si="1">B16*D16</f>
        <v>0</v>
      </c>
    </row>
    <row r="17" spans="1:5" s="28" customFormat="1" x14ac:dyDescent="0.3">
      <c r="A17" s="22" t="s">
        <v>22</v>
      </c>
      <c r="B17" s="26">
        <v>22</v>
      </c>
      <c r="C17" s="27"/>
      <c r="D17" s="27"/>
      <c r="E17" s="7">
        <f t="shared" si="1"/>
        <v>0</v>
      </c>
    </row>
    <row r="18" spans="1:5" s="25" customFormat="1" x14ac:dyDescent="0.3">
      <c r="A18" s="22" t="s">
        <v>23</v>
      </c>
      <c r="B18" s="7">
        <v>22</v>
      </c>
      <c r="C18" s="6"/>
      <c r="D18" s="6"/>
      <c r="E18" s="7">
        <f t="shared" si="1"/>
        <v>0</v>
      </c>
    </row>
    <row r="19" spans="1:5" s="25" customFormat="1" ht="37.5" x14ac:dyDescent="0.3">
      <c r="A19" s="22" t="s">
        <v>29</v>
      </c>
      <c r="B19" s="7">
        <v>25</v>
      </c>
      <c r="C19" s="6"/>
      <c r="D19" s="6"/>
      <c r="E19" s="7">
        <f t="shared" si="1"/>
        <v>0</v>
      </c>
    </row>
    <row r="20" spans="1:5" s="25" customFormat="1" ht="37.5" x14ac:dyDescent="0.3">
      <c r="A20" s="22" t="s">
        <v>24</v>
      </c>
      <c r="B20" s="7">
        <v>20</v>
      </c>
      <c r="C20" s="6"/>
      <c r="D20" s="6"/>
      <c r="E20" s="7">
        <f t="shared" si="1"/>
        <v>0</v>
      </c>
    </row>
    <row r="21" spans="1:5" s="25" customFormat="1" ht="37.5" x14ac:dyDescent="0.3">
      <c r="A21" s="22" t="s">
        <v>25</v>
      </c>
      <c r="B21" s="7">
        <v>20</v>
      </c>
      <c r="C21" s="6"/>
      <c r="D21" s="6"/>
      <c r="E21" s="7">
        <f t="shared" si="1"/>
        <v>0</v>
      </c>
    </row>
    <row r="22" spans="1:5" s="25" customFormat="1" x14ac:dyDescent="0.3">
      <c r="A22" s="13" t="s">
        <v>26</v>
      </c>
      <c r="B22" s="7">
        <v>20</v>
      </c>
      <c r="C22" s="6"/>
      <c r="D22" s="6"/>
      <c r="E22" s="7">
        <f t="shared" si="1"/>
        <v>0</v>
      </c>
    </row>
    <row r="23" spans="1:5" s="25" customFormat="1" x14ac:dyDescent="0.3">
      <c r="A23" s="13" t="s">
        <v>27</v>
      </c>
      <c r="B23" s="7">
        <v>40</v>
      </c>
      <c r="C23" s="6"/>
      <c r="D23" s="6"/>
      <c r="E23" s="7">
        <f t="shared" si="1"/>
        <v>0</v>
      </c>
    </row>
    <row r="24" spans="1:5" x14ac:dyDescent="0.3">
      <c r="A24" s="13" t="s">
        <v>18</v>
      </c>
      <c r="B24" s="7"/>
      <c r="C24" s="9"/>
      <c r="D24" s="9"/>
      <c r="E24" s="7">
        <f>E4+E5+E6+E7+E8+E9+E10+E11+E12+E15+E16+E17+E18+E19+E20+E21+E22</f>
        <v>0</v>
      </c>
    </row>
    <row r="25" spans="1:5" x14ac:dyDescent="0.3">
      <c r="A25" s="13" t="s">
        <v>16</v>
      </c>
      <c r="B25" s="7"/>
      <c r="C25" s="9"/>
      <c r="D25" s="9"/>
      <c r="E25" s="7"/>
    </row>
    <row r="26" spans="1:5" x14ac:dyDescent="0.3">
      <c r="A26" s="13" t="s">
        <v>17</v>
      </c>
      <c r="B26" s="7">
        <v>8.2500000000000004E-2</v>
      </c>
      <c r="C26" s="9"/>
      <c r="D26" s="9"/>
      <c r="E26" s="7">
        <f>B26*E24</f>
        <v>0</v>
      </c>
    </row>
    <row r="27" spans="1:5" x14ac:dyDescent="0.3">
      <c r="A27" s="6" t="s">
        <v>5</v>
      </c>
      <c r="B27" s="7"/>
      <c r="C27" s="6"/>
      <c r="D27" s="6"/>
      <c r="E27" s="7">
        <f>E24+E25+E26</f>
        <v>0</v>
      </c>
    </row>
  </sheetData>
  <mergeCells count="2">
    <mergeCell ref="A1:E1"/>
    <mergeCell ref="B2:E2"/>
  </mergeCells>
  <hyperlinks>
    <hyperlink ref="A6" r:id="rId1" xr:uid="{8D763DA6-55EB-4B03-9857-BFA52FC22E6C}"/>
    <hyperlink ref="A10" r:id="rId2" display="2. Youth Red Raptors Baseball Short Sleeve Pullover (NEW)" xr:uid="{E400C74E-9BA4-46E6-8957-EA3A0D37C13E}"/>
    <hyperlink ref="A11" r:id="rId3" display="Raptors Fitted Team Hat" xr:uid="{2860BD2C-F584-4311-8237-D24BA5E036A2}"/>
    <hyperlink ref="A17" r:id="rId4" xr:uid="{EF670D8B-B274-4DAC-BAF0-957A1C1CC73B}"/>
    <hyperlink ref="A18" r:id="rId5" display="14. Adult Red Seams Shirt" xr:uid="{E4AA61F6-9D0E-4397-A805-B010293E909E}"/>
    <hyperlink ref="A20" r:id="rId6" display="15. Raptors Fitted Team Hat Black and Red" xr:uid="{369051E2-398B-442B-84DD-3968841AB873}"/>
    <hyperlink ref="A21" r:id="rId7" display="16. Snapback Raptors Hat - Black and White" xr:uid="{9D54DE00-BFEB-422A-9844-B378461559DA}"/>
    <hyperlink ref="A19" r:id="rId8" display="15. Adult Hooded SPF Long Sleeve (Alumninum )" xr:uid="{785A69BE-4FF6-45F8-9187-C566237B7576}"/>
    <hyperlink ref="A17:XFD17" r:id="rId9" display="13. Adult Pink Electric Shirt" xr:uid="{9A8AA50A-BF60-4D75-95AD-9F47768A04B5}"/>
    <hyperlink ref="A16" r:id="rId10" xr:uid="{D841850F-D1BA-4782-B641-34F6D8AB6CC7}"/>
    <hyperlink ref="A8" r:id="rId11" xr:uid="{BCAFF2DE-A16A-4417-9496-9A61DD6F1D64}"/>
    <hyperlink ref="A9" r:id="rId12" xr:uid="{93EE83D8-15C2-414E-8D1E-32995C1CADDE}"/>
    <hyperlink ref="A7" r:id="rId13" xr:uid="{B7B99231-42FA-449D-9E83-2A0A02265C3E}"/>
    <hyperlink ref="A12" r:id="rId14" display="9. Red socks" xr:uid="{3D2D6D83-7B8F-4DC4-82CB-B870B0823F68}"/>
    <hyperlink ref="A15" r:id="rId15" display="11. Adult Gray Splatter Shirt (Heathered Gray)" xr:uid="{FB6456C4-C988-4313-BEDF-5A25FC86FE1D}"/>
  </hyperlinks>
  <pageMargins left="0.25" right="0.25" top="0.5" bottom="0.5" header="0.05" footer="0.05"/>
  <pageSetup orientation="portrait" horizontalDpi="300" verticalDpi="30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 Sobczak</dc:creator>
  <cp:lastModifiedBy>Garret Sobczak</cp:lastModifiedBy>
  <cp:lastPrinted>2026-01-04T19:33:52Z</cp:lastPrinted>
  <dcterms:created xsi:type="dcterms:W3CDTF">2025-08-11T13:18:54Z</dcterms:created>
  <dcterms:modified xsi:type="dcterms:W3CDTF">2026-01-10T14:12:48Z</dcterms:modified>
</cp:coreProperties>
</file>